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งบลงทุน" sheetId="1" state="visible" r:id="rId1"/>
    <sheet name="ตัดออก" sheetId="2" state="visible" r:id="rId2"/>
    <sheet name="ขนาดการผลิต" sheetId="3" state="visible" r:id="rId3"/>
    <sheet name="ข้อควรทราบ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0.0%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3" fillId="3" borderId="0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5" fillId="4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6" fillId="0" borderId="0" pivotButton="0" quotePrefix="0" xfId="0"/>
    <xf numFmtId="164" fontId="6" fillId="0" borderId="0" pivotButton="0" quotePrefix="0" xfId="0"/>
    <xf numFmtId="165" fontId="5" fillId="4" borderId="0" pivotButton="0" quotePrefix="0" xfId="0"/>
    <xf numFmtId="164" fontId="0" fillId="0" borderId="0" pivotButton="0" quotePrefix="0" xfId="0"/>
    <xf numFmtId="0" fontId="6" fillId="6" borderId="0" pivotButton="0" quotePrefix="0" xfId="0"/>
    <xf numFmtId="164" fontId="6" fillId="6" borderId="0" pivotButton="0" quotePrefix="0" xfId="0"/>
    <xf numFmtId="164" fontId="5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9" fontId="5" fillId="0" borderId="0" pivotButton="0" quotePrefix="0" xfId="0"/>
    <xf numFmtId="2" fontId="4" fillId="0" borderId="0" pivotButton="0" quotePrefix="0" xfId="0"/>
    <xf numFmtId="166" fontId="4" fillId="0" borderId="0" pivotButton="0" quotePrefix="0" xfId="0"/>
    <xf numFmtId="3" fontId="4" fillId="0" borderId="0" pivotButton="0" quotePrefix="0" xfId="0"/>
    <xf numFmtId="165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46" customWidth="1" min="3" max="3"/>
    <col width="7" customWidth="1" min="4" max="4"/>
    <col width="16" customWidth="1" min="5" max="5"/>
    <col width="16" customWidth="1" min="6" max="6"/>
    <col width="13" customWidth="1" min="7" max="7"/>
    <col width="46" customWidth="1" min="8" max="8"/>
    <col width="24" customWidth="1" min="9" max="9"/>
    <col width="34" customWidth="1" min="10" max="10"/>
  </cols>
  <sheetData>
    <row r="1">
      <c r="A1" s="1" t="inlineStr">
        <is>
          <t>งบลงทุน Skid นำร่อง 100 kW – ดักจับ CO₂ ด้วย MEA 30% ที่โรงไฟฟ้าบางปะกง (งบไม่เกิน 30 ล้านบาท)</t>
        </is>
      </c>
    </row>
    <row r="2">
      <c r="A2" s="2" t="inlineStr">
        <is>
          <t>ปรับจาก EcoFormic_Industrial_CAPEX_NF.xlsx ของทีม: ตัดชุดความเย็น LNG ออก ใส่ชุด MEA แทน · ช่องสีเหลือง = ราคาประมาณการ ต้องขอใบเสนอราคา · ตัวเลขสีน้ำเงิน = ค่าที่แก้ได้ · รหัส S.. อ้างถึง SOURCES.md</t>
        </is>
      </c>
    </row>
    <row r="4">
      <c r="A4" s="3" t="inlineStr">
        <is>
          <t>ลำดับ</t>
        </is>
      </c>
      <c r="B4" s="3" t="inlineStr">
        <is>
          <t>รายการอุปกรณ์</t>
        </is>
      </c>
      <c r="C4" s="3" t="inlineStr">
        <is>
          <t>สเปก / หน้าที่</t>
        </is>
      </c>
      <c r="D4" s="3" t="inlineStr">
        <is>
          <t>จำนวน</t>
        </is>
      </c>
      <c r="E4" s="3" t="inlineStr">
        <is>
          <t>ราคาต่อหน่วย (บาท)</t>
        </is>
      </c>
      <c r="F4" s="3" t="inlineStr">
        <is>
          <t>ราคารวม (บาท)</t>
        </is>
      </c>
      <c r="G4" s="3" t="inlineStr">
        <is>
          <t>เปลี่ยนจากไฟล์ทีม</t>
        </is>
      </c>
      <c r="H4" s="3" t="inlineStr">
        <is>
          <t>เหตุผล</t>
        </is>
      </c>
      <c r="I4" s="3" t="inlineStr">
        <is>
          <t>สถานะราคา</t>
        </is>
      </c>
      <c r="J4" s="3" t="inlineStr">
        <is>
          <t>ผู้ขายที่ควรขอใบเสนอราคา</t>
        </is>
      </c>
    </row>
    <row r="5">
      <c r="A5" s="4" t="inlineStr">
        <is>
          <t>โมดูล 1: ชุดดักจับ CO₂ ด้วย MEA 30% (แทนชุดความเย็น LNG เดิม)</t>
        </is>
      </c>
    </row>
    <row r="6">
      <c r="A6" s="5" t="inlineStr">
        <is>
          <t>1.1</t>
        </is>
      </c>
      <c r="B6" s="5" t="inlineStr">
        <is>
          <t>Flue Gas Tie-in &amp; Blower</t>
        </is>
      </c>
      <c r="C6" s="5" t="inlineStr">
        <is>
          <t>ท่อต่อจากโคนปล่อง + พัดลมดูดไอเสีย ~700 Nm³/ชม. (~3 kW) SS316L</t>
        </is>
      </c>
      <c r="D6" s="6" t="n">
        <v>1</v>
      </c>
      <c r="E6" s="7" t="n">
        <v>250000</v>
      </c>
      <c r="F6" s="8">
        <f>D6*E6</f>
        <v/>
      </c>
      <c r="G6" s="9" t="inlineStr">
        <is>
          <t>ปรับ</t>
        </is>
      </c>
      <c r="H6" s="5" t="inlineStr">
        <is>
          <t>เดิม 15 kW ใหญ่เกิน: skid 100 kW ต้องดึงไอเสียแค่ ~680 Nm³/ชม. (ชีต ขนาดการผลิต)</t>
        </is>
      </c>
      <c r="I6" s="9" t="inlineStr">
        <is>
          <t>ประมาณการ – ต้องขอใบเสนอราคา</t>
        </is>
      </c>
      <c r="J6" s="5" t="inlineStr">
        <is>
          <t>New York Blower / ผู้ผลิตพัดลมอุตสาหกรรมในไทย</t>
        </is>
      </c>
    </row>
    <row r="7">
      <c r="A7" s="5" t="inlineStr">
        <is>
          <t>1.2</t>
        </is>
      </c>
      <c r="B7" s="5" t="inlineStr">
        <is>
          <t>Direct Contact Cooler (หอทำเย็น)</t>
        </is>
      </c>
      <c r="C7" s="5" t="inlineStr">
        <is>
          <t>ทำเย็นไอเสีย ~90→40 °C ด้วยน้ำหล่อเย็น + ถังเก็บน้ำกลั่นตัว SS316L</t>
        </is>
      </c>
      <c r="D7" s="6" t="n">
        <v>1</v>
      </c>
      <c r="E7" s="7" t="n">
        <v>450000</v>
      </c>
      <c r="F7" s="8">
        <f>D7*E7</f>
        <v/>
      </c>
      <c r="G7" s="10" t="inlineStr">
        <is>
          <t>เพิ่มใหม่</t>
        </is>
      </c>
      <c r="H7" s="5" t="inlineStr">
        <is>
          <t>แทน HEPA + Desiccant: ไอเสียก๊าซไม่มีเถ้า; น้ำกลั่นตัวใช้ป้อน PEM</t>
        </is>
      </c>
      <c r="I7" s="9" t="inlineStr">
        <is>
          <t>ประมาณการ – ต้องขอใบเสนอราคา</t>
        </is>
      </c>
      <c r="J7" s="5" t="inlineStr">
        <is>
          <t>ผู้ผลิตหอ/ถังสแตนเลสในไทย</t>
        </is>
      </c>
    </row>
    <row r="8">
      <c r="A8" s="5" t="inlineStr">
        <is>
          <t>1.3</t>
        </is>
      </c>
      <c r="B8" s="5" t="inlineStr">
        <is>
          <t>Absorber Column (หอดูดซับ)</t>
        </is>
      </c>
      <c r="C8" s="5" t="inlineStr">
        <is>
          <t>หอบรรจุ packing SS316L, MEA 30% เข้า 40 °C, มีส่วนล้างด้วยน้ำด้านบนกัน MEA หลุด</t>
        </is>
      </c>
      <c r="D8" s="6" t="n">
        <v>1</v>
      </c>
      <c r="E8" s="7" t="n">
        <v>1200000</v>
      </c>
      <c r="F8" s="8">
        <f>D8*E8</f>
        <v/>
      </c>
      <c r="G8" s="10" t="inlineStr">
        <is>
          <t>เพิ่มใหม่</t>
        </is>
      </c>
      <c r="H8" s="5" t="inlineStr">
        <is>
          <t>หัวใจของการดักจับ CO₂ แบบ MEA (S19)</t>
        </is>
      </c>
      <c r="I8" s="9" t="inlineStr">
        <is>
          <t>ประมาณการ – ต้องขอใบเสนอราคา</t>
        </is>
      </c>
      <c r="J8" s="5" t="inlineStr">
        <is>
          <t>Sulzer / Koch-Glitsch / ผู้รับเหมาหอในไทย</t>
        </is>
      </c>
    </row>
    <row r="9">
      <c r="A9" s="5" t="inlineStr">
        <is>
          <t>1.4</t>
        </is>
      </c>
      <c r="B9" s="5" t="inlineStr">
        <is>
          <t>Stripper Column + Reboiler (หอไล่ CO₂)</t>
        </is>
      </c>
      <c r="C9" s="5" t="inlineStr">
        <is>
          <t>115–125 °C, ~1.5 bar, หม้อต้มใช้ไอน้ำเหลือทิ้งโรงไฟฟ้า ~50 kW ความร้อน</t>
        </is>
      </c>
      <c r="D9" s="6" t="n">
        <v>1</v>
      </c>
      <c r="E9" s="7" t="n">
        <v>1300000</v>
      </c>
      <c r="F9" s="8">
        <f>D9*E9</f>
        <v/>
      </c>
      <c r="G9" s="10" t="inlineStr">
        <is>
          <t>เพิ่มใหม่</t>
        </is>
      </c>
      <c r="H9" s="5" t="inlineStr">
        <is>
          <t>ไล่ CO₂ ออกจาก MEA ให้ MEA วนใช้ซ้ำ (S06, S19)</t>
        </is>
      </c>
      <c r="I9" s="9" t="inlineStr">
        <is>
          <t>ประมาณการ – ต้องขอใบเสนอราคา</t>
        </is>
      </c>
      <c r="J9" s="5" t="inlineStr">
        <is>
          <t>Sulzer / ผู้รับเหมาหอในไทย</t>
        </is>
      </c>
    </row>
    <row r="10">
      <c r="A10" s="5" t="inlineStr">
        <is>
          <t>1.5</t>
        </is>
      </c>
      <c r="B10" s="5" t="inlineStr">
        <is>
          <t>Rich/Lean Plate Heat Exchanger</t>
        </is>
      </c>
      <c r="C10" s="5" t="inlineStr">
        <is>
          <t>แลกเปลี่ยนความร้อน MEA จางร้อน → MEA อิ่ม (50–60 → 100–110 °C) SS316</t>
        </is>
      </c>
      <c r="D10" s="6" t="n">
        <v>1</v>
      </c>
      <c r="E10" s="7" t="n">
        <v>250000</v>
      </c>
      <c r="F10" s="8">
        <f>D10*E10</f>
        <v/>
      </c>
      <c r="G10" s="10" t="inlineStr">
        <is>
          <t>เพิ่มใหม่</t>
        </is>
      </c>
      <c r="H10" s="5" t="inlineStr">
        <is>
          <t>ประหยัดไอน้ำ; ต้องมีตามแผนภาพที่แก้แล้ว</t>
        </is>
      </c>
      <c r="I10" s="9" t="inlineStr">
        <is>
          <t>ประมาณการ – ต้องขอใบเสนอราคา</t>
        </is>
      </c>
      <c r="J10" s="5" t="inlineStr">
        <is>
          <t>Alfa Laval / SWEP</t>
        </is>
      </c>
    </row>
    <row r="11">
      <c r="A11" s="5" t="inlineStr">
        <is>
          <t>1.6</t>
        </is>
      </c>
      <c r="B11" s="5" t="inlineStr">
        <is>
          <t>Lean Cooler + CO₂ Condenser + Reflux Drum</t>
        </is>
      </c>
      <c r="C11" s="5" t="inlineStr">
        <is>
          <t>ทำเย็น MEA จางเหลือ 40 °C; ควบแน่นไอน้ำออกจาก CO₂</t>
        </is>
      </c>
      <c r="D11" s="6" t="n">
        <v>1</v>
      </c>
      <c r="E11" s="7" t="n">
        <v>350000</v>
      </c>
      <c r="F11" s="8">
        <f>D11*E11</f>
        <v/>
      </c>
      <c r="G11" s="10" t="inlineStr">
        <is>
          <t>เพิ่มใหม่</t>
        </is>
      </c>
      <c r="H11" s="5" t="inlineStr">
        <is>
          <t>ได้ CO₂ บริสุทธิ์ และคุม MEA ที่ 40 °C</t>
        </is>
      </c>
      <c r="I11" s="9" t="inlineStr">
        <is>
          <t>ประมาณการ – ต้องขอใบเสนอราคา</t>
        </is>
      </c>
      <c r="J11" s="5" t="inlineStr">
        <is>
          <t>Alfa Laval / ผู้ผลิตในไทย</t>
        </is>
      </c>
    </row>
    <row r="12">
      <c r="A12" s="5" t="inlineStr">
        <is>
          <t>1.7</t>
        </is>
      </c>
      <c r="B12" s="5" t="inlineStr">
        <is>
          <t>MEA Circulation Pumps (สายอิ่ม/สายจาง)</t>
        </is>
      </c>
      <c r="C12" s="5" t="inlineStr">
        <is>
          <t>ปั๊มแม่เหล็ก ~0.75 m³/ชม. ต่อสาย</t>
        </is>
      </c>
      <c r="D12" s="6" t="n">
        <v>2</v>
      </c>
      <c r="E12" s="7" t="n">
        <v>120000</v>
      </c>
      <c r="F12" s="8">
        <f>D12*E12</f>
        <v/>
      </c>
      <c r="G12" s="10" t="inlineStr">
        <is>
          <t>เพิ่มใหม่</t>
        </is>
      </c>
      <c r="H12" s="5" t="inlineStr">
        <is>
          <t>สารละลาย MEA ไหลวน ~740 กก./ชม.</t>
        </is>
      </c>
      <c r="I12" s="9" t="inlineStr">
        <is>
          <t>ประมาณการ – ต้องขอใบเสนอราคา</t>
        </is>
      </c>
      <c r="J12" s="5" t="inlineStr">
        <is>
          <t>IWAKI Pumps Thailand</t>
        </is>
      </c>
    </row>
    <row r="13">
      <c r="A13" s="5" t="inlineStr">
        <is>
          <t>1.8</t>
        </is>
      </c>
      <c r="B13" s="5" t="inlineStr">
        <is>
          <t>MEA Storage Tank + Carbon Filter</t>
        </is>
      </c>
      <c r="C13" s="5" t="inlineStr">
        <is>
          <t>ถังสำรอง MEA + ไส้กรองคาร์บอนดักสารที่เสื่อม</t>
        </is>
      </c>
      <c r="D13" s="6" t="n">
        <v>1</v>
      </c>
      <c r="E13" s="7" t="n">
        <v>300000</v>
      </c>
      <c r="F13" s="8">
        <f>D13*E13</f>
        <v/>
      </c>
      <c r="G13" s="10" t="inlineStr">
        <is>
          <t>เพิ่มใหม่</t>
        </is>
      </c>
      <c r="H13" s="5" t="inlineStr">
        <is>
          <t>MEA เสื่อมจาก O₂ ~12% ในไอเสีย (S05, S07)</t>
        </is>
      </c>
      <c r="I13" s="9" t="inlineStr">
        <is>
          <t>ประมาณการ – ต้องขอใบเสนอราคา</t>
        </is>
      </c>
      <c r="J13" s="5" t="inlineStr">
        <is>
          <t>ผู้ผลิตถังในไทย</t>
        </is>
      </c>
    </row>
    <row r="14">
      <c r="A14" s="5" t="inlineStr">
        <is>
          <t>1.9</t>
        </is>
      </c>
      <c r="B14" s="5" t="inlineStr">
        <is>
          <t>MEA 30% ตั้งต้น</t>
        </is>
      </c>
      <c r="C14" s="5" t="inlineStr">
        <is>
          <t>สารละลาย MEA 30% ประมาณ 1 m³</t>
        </is>
      </c>
      <c r="D14" s="6" t="n">
        <v>1</v>
      </c>
      <c r="E14" s="7" t="n">
        <v>100000</v>
      </c>
      <c r="F14" s="8">
        <f>D14*E14</f>
        <v/>
      </c>
      <c r="G14" s="10" t="inlineStr">
        <is>
          <t>เพิ่มใหม่</t>
        </is>
      </c>
      <c r="H14" s="5" t="inlineStr">
        <is>
          <t>เติมระบบครั้งแรก</t>
        </is>
      </c>
      <c r="I14" s="9" t="inlineStr">
        <is>
          <t>ประมาณการ – ต้องขอใบเสนอราคา</t>
        </is>
      </c>
      <c r="J14" s="5" t="inlineStr">
        <is>
          <t>ผู้จำหน่ายเคมีในไทย</t>
        </is>
      </c>
    </row>
    <row r="15">
      <c r="A15" s="5" t="inlineStr">
        <is>
          <t>1.10</t>
        </is>
      </c>
      <c r="B15" s="5" t="inlineStr">
        <is>
          <t>CO₂ Booster Compressor</t>
        </is>
      </c>
      <c r="C15" s="5" t="inlineStr">
        <is>
          <t>อัด CO₂ จาก ~1.5 bar เป็น 50 bar ป้อนเตาปฏิกรณ์</t>
        </is>
      </c>
      <c r="D15" s="6" t="n">
        <v>1</v>
      </c>
      <c r="E15" s="11" t="n">
        <v>950000</v>
      </c>
      <c r="F15" s="8">
        <f>D15*E15</f>
        <v/>
      </c>
      <c r="G15" s="5" t="inlineStr">
        <is>
          <t>คงไว้</t>
        </is>
      </c>
      <c r="H15" s="5" t="inlineStr">
        <is>
          <t>ยังจำเป็น</t>
        </is>
      </c>
      <c r="I15" s="5" t="inlineStr">
        <is>
          <t>ราคาจากทีม (อ้างเว็บผู้ขาย ยังไม่ใช่ใบเสนอราคา)</t>
        </is>
      </c>
      <c r="J15" s="5" t="inlineStr">
        <is>
          <t>Haskel / Bauer</t>
        </is>
      </c>
    </row>
    <row r="16">
      <c r="A16" s="5" t="inlineStr">
        <is>
          <t>1.11</t>
        </is>
      </c>
      <c r="B16" s="5" t="inlineStr">
        <is>
          <t>CO₂ Analyzer (NDIR)</t>
        </is>
      </c>
      <c r="C16" s="5" t="inlineStr">
        <is>
          <t>วัด CO₂ ขาเข้า/ขาออกหอดูดซับ ด้วยวาล์วสลับจุดเก็บตัวอย่าง</t>
        </is>
      </c>
      <c r="D16" s="6" t="n">
        <v>1</v>
      </c>
      <c r="E16" s="7" t="n">
        <v>220000</v>
      </c>
      <c r="F16" s="8">
        <f>D16*E16</f>
        <v/>
      </c>
      <c r="G16" s="10" t="inlineStr">
        <is>
          <t>เพิ่มใหม่</t>
        </is>
      </c>
      <c r="H16" s="5" t="inlineStr">
        <is>
          <t>พิสูจน์อัตราดักจับ 90% ให้กรรมการเห็นเป็นตัวเลขจริง</t>
        </is>
      </c>
      <c r="I16" s="9" t="inlineStr">
        <is>
          <t>ประมาณการ – ต้องขอใบเสนอราคา</t>
        </is>
      </c>
      <c r="J16" s="5" t="inlineStr">
        <is>
          <t>Siemens / ABB / Vaisala</t>
        </is>
      </c>
    </row>
    <row r="17">
      <c r="E17" s="12" t="inlineStr">
        <is>
          <t>รวมโมดูล</t>
        </is>
      </c>
      <c r="F17" s="13">
        <f>SUM(F6:F16)</f>
        <v/>
      </c>
    </row>
    <row r="19">
      <c r="A19" s="4" t="inlineStr">
        <is>
          <t>โมดูล 2: ชุดผลิตไฮโดรเจน PEM 100 kW</t>
        </is>
      </c>
    </row>
    <row r="20">
      <c r="A20" s="5" t="inlineStr">
        <is>
          <t>2.1</t>
        </is>
      </c>
      <c r="B20" s="5" t="inlineStr">
        <is>
          <t>PEM Electrolyser 100 kW</t>
        </is>
      </c>
      <c r="C20" s="5" t="inlineStr">
        <is>
          <t>ผลิต H₂ ~1.95 kg/ชม. (51.2 kWh/kg, S09)</t>
        </is>
      </c>
      <c r="D20" s="6" t="n">
        <v>1</v>
      </c>
      <c r="E20" s="11" t="n">
        <v>4750000</v>
      </c>
      <c r="F20" s="8">
        <f>D20*E20</f>
        <v/>
      </c>
      <c r="G20" s="5" t="inlineStr">
        <is>
          <t>คงไว้</t>
        </is>
      </c>
      <c r="H20" s="5" t="inlineStr">
        <is>
          <t>ขนาดนี้กำหนดกำลังผลิตทั้งระบบ</t>
        </is>
      </c>
      <c r="I20" s="5" t="inlineStr">
        <is>
          <t>ราคาจากทีม (อ้างเว็บผู้ขาย ยังไม่ใช่ใบเสนอราคา)</t>
        </is>
      </c>
      <c r="J20" s="5" t="inlineStr">
        <is>
          <t>FuelCellStore / Beijing CEI / Saikesaisi</t>
        </is>
      </c>
    </row>
    <row r="21">
      <c r="A21" s="5" t="inlineStr">
        <is>
          <t>2.2</t>
        </is>
      </c>
      <c r="B21" s="5" t="inlineStr">
        <is>
          <t>RO + DI Water Unit ~50 L/ชม.</t>
        </is>
      </c>
      <c r="C21" s="5" t="inlineStr">
        <is>
          <t>กรองน้ำกลั่นตัวจากไอเสีย (เป็นกรดอ่อน) + น้ำประปา ให้ &lt; 0.1 µS/cm</t>
        </is>
      </c>
      <c r="D21" s="6" t="n">
        <v>1</v>
      </c>
      <c r="E21" s="7" t="n">
        <v>500000</v>
      </c>
      <c r="F21" s="8">
        <f>D21*E21</f>
        <v/>
      </c>
      <c r="G21" s="9" t="inlineStr">
        <is>
          <t>ปรับ</t>
        </is>
      </c>
      <c r="H21" s="5" t="inlineStr">
        <is>
          <t>เดิม 200 L/ชม. ใหญ่เกิน; PEM 100 kW ใช้น้ำ ~20 L/ชม.; เพิ่ม RO เพราะน้ำกลั่นตัวมี CO₂</t>
        </is>
      </c>
      <c r="I21" s="9" t="inlineStr">
        <is>
          <t>ประมาณการ – ต้องขอใบเสนอราคา</t>
        </is>
      </c>
      <c r="J21" s="5" t="inlineStr">
        <is>
          <t>Evoqua / ผู้ผลิตระบบน้ำในไทย</t>
        </is>
      </c>
    </row>
    <row r="22">
      <c r="A22" s="5" t="inlineStr">
        <is>
          <t>2.3</t>
        </is>
      </c>
      <c r="B22" s="5" t="inlineStr">
        <is>
          <t>H₂ Deoxo &amp; Gas Dryer</t>
        </is>
      </c>
      <c r="C22" s="5" t="inlineStr">
        <is>
          <t>กำจัด O₂ และความชื้นใน H₂</t>
        </is>
      </c>
      <c r="D22" s="6" t="n">
        <v>1</v>
      </c>
      <c r="E22" s="11" t="n">
        <v>750000</v>
      </c>
      <c r="F22" s="8">
        <f>D22*E22</f>
        <v/>
      </c>
      <c r="G22" s="5" t="inlineStr">
        <is>
          <t>คงไว้</t>
        </is>
      </c>
      <c r="H22" s="5" t="inlineStr">
        <is>
          <t>ตัวเร่ง Ru ไวต่อ O₂</t>
        </is>
      </c>
      <c r="I22" s="5" t="inlineStr">
        <is>
          <t>ราคาจากทีม (อ้างเว็บผู้ขาย ยังไม่ใช่ใบเสนอราคา)</t>
        </is>
      </c>
      <c r="J22" s="5" t="inlineStr">
        <is>
          <t>Parker Hannifin</t>
        </is>
      </c>
    </row>
    <row r="23">
      <c r="A23" s="5" t="inlineStr">
        <is>
          <t>2.4</t>
        </is>
      </c>
      <c r="B23" s="5" t="inlineStr">
        <is>
          <t>H₂ Buffer Tank &amp; Compressor</t>
        </is>
      </c>
      <c r="C23" s="5" t="inlineStr">
        <is>
          <t>ถังพัก 3 m³ + อัด 30–50 bar ASME</t>
        </is>
      </c>
      <c r="D23" s="6" t="n">
        <v>1</v>
      </c>
      <c r="E23" s="11" t="n">
        <v>1250000</v>
      </c>
      <c r="F23" s="8">
        <f>D23*E23</f>
        <v/>
      </c>
      <c r="G23" s="5" t="inlineStr">
        <is>
          <t>คงไว้</t>
        </is>
      </c>
      <c r="H23" s="5" t="inlineStr">
        <is>
          <t>เตาปฏิกรณ์ทำงานที่ความดันสูง</t>
        </is>
      </c>
      <c r="I23" s="5" t="inlineStr">
        <is>
          <t>ราคาจากทีม (อ้างเว็บผู้ขาย ยังไม่ใช่ใบเสนอราคา)</t>
        </is>
      </c>
      <c r="J23" s="5" t="inlineStr">
        <is>
          <t>PDC Machines</t>
        </is>
      </c>
    </row>
    <row r="24">
      <c r="E24" s="12" t="inlineStr">
        <is>
          <t>รวมโมดูล</t>
        </is>
      </c>
      <c r="F24" s="13">
        <f>SUM(F20:F23)</f>
        <v/>
      </c>
    </row>
    <row r="26">
      <c r="A26" s="4" t="inlineStr">
        <is>
          <t>โมดูล 3: ชุดสังเคราะห์และแยกกรดฟอร์มิก (Ru + เอมีนตติยภูมิ)</t>
        </is>
      </c>
    </row>
    <row r="27">
      <c r="A27" s="5" t="inlineStr">
        <is>
          <t>3.1</t>
        </is>
      </c>
      <c r="B27" s="5" t="inlineStr">
        <is>
          <t>High-Pressure Reactor (CSTR)</t>
        </is>
      </c>
      <c r="C27" s="5" t="inlineStr">
        <is>
          <t>300 L Hastelloy C-276 ทน 50 bar</t>
        </is>
      </c>
      <c r="D27" s="6" t="n">
        <v>1</v>
      </c>
      <c r="E27" s="11" t="n">
        <v>2350000</v>
      </c>
      <c r="F27" s="8">
        <f>D27*E27</f>
        <v/>
      </c>
      <c r="G27" s="5" t="inlineStr">
        <is>
          <t>คงไว้</t>
        </is>
      </c>
      <c r="H27" s="5" t="inlineStr"/>
      <c r="I27" s="5" t="inlineStr">
        <is>
          <t>ราคาจากทีม (อ้างเว็บผู้ขาย ยังไม่ใช่ใบเสนอราคา)</t>
        </is>
      </c>
      <c r="J27" s="5" t="inlineStr">
        <is>
          <t>Amar Equipments / Büchi</t>
        </is>
      </c>
    </row>
    <row r="28">
      <c r="A28" s="5" t="inlineStr">
        <is>
          <t>3.2</t>
        </is>
      </c>
      <c r="B28" s="5" t="inlineStr">
        <is>
          <t>Magnetic Drive Agitator 7.5 kW</t>
        </is>
      </c>
      <c r="C28" s="5" t="inlineStr">
        <is>
          <t>ใบกวนแม่เหล็กไร้รอยรั่ว Ex-d</t>
        </is>
      </c>
      <c r="D28" s="6" t="n">
        <v>1</v>
      </c>
      <c r="E28" s="11" t="n">
        <v>580000</v>
      </c>
      <c r="F28" s="8">
        <f>D28*E28</f>
        <v/>
      </c>
      <c r="G28" s="5" t="inlineStr">
        <is>
          <t>คงไว้</t>
        </is>
      </c>
      <c r="H28" s="5" t="inlineStr">
        <is>
          <t>กัน H₂ รั่ว</t>
        </is>
      </c>
      <c r="I28" s="5" t="inlineStr">
        <is>
          <t>ราคาจากทีม (อ้างเว็บผู้ขาย ยังไม่ใช่ใบเสนอราคา)</t>
        </is>
      </c>
      <c r="J28" s="5" t="inlineStr">
        <is>
          <t>EKATO</t>
        </is>
      </c>
    </row>
    <row r="29">
      <c r="A29" s="5" t="inlineStr">
        <is>
          <t>3.3</t>
        </is>
      </c>
      <c r="B29" s="5" t="inlineStr">
        <is>
          <t>Catalyst/Amine Dosing Pump</t>
        </is>
      </c>
      <c r="C29" s="5" t="inlineStr">
        <is>
          <t>ปั๊มไดอะแฟรมแรงดันสูง</t>
        </is>
      </c>
      <c r="D29" s="6" t="n">
        <v>1</v>
      </c>
      <c r="E29" s="11" t="n">
        <v>380000</v>
      </c>
      <c r="F29" s="8">
        <f>D29*E29</f>
        <v/>
      </c>
      <c r="G29" s="5" t="inlineStr">
        <is>
          <t>คงไว้</t>
        </is>
      </c>
      <c r="H29" s="5" t="inlineStr"/>
      <c r="I29" s="5" t="inlineStr">
        <is>
          <t>ราคาจากทีม (อ้างเว็บผู้ขาย ยังไม่ใช่ใบเสนอราคา)</t>
        </is>
      </c>
      <c r="J29" s="5" t="inlineStr">
        <is>
          <t>LEWA / Milton Roy</t>
        </is>
      </c>
    </row>
    <row r="30">
      <c r="A30" s="5" t="inlineStr">
        <is>
          <t>3.4</t>
        </is>
      </c>
      <c r="B30" s="5" t="inlineStr">
        <is>
          <t>Phase Separator (Decanter)</t>
        </is>
      </c>
      <c r="C30" s="5" t="inlineStr">
        <is>
          <t>แยกชั้นสารประกอบกรด–เอมีนออกจากตัวทำละลาย</t>
        </is>
      </c>
      <c r="D30" s="6" t="n">
        <v>1</v>
      </c>
      <c r="E30" s="7" t="n">
        <v>300000</v>
      </c>
      <c r="F30" s="8">
        <f>D30*E30</f>
        <v/>
      </c>
      <c r="G30" s="10" t="inlineStr">
        <is>
          <t>เพิ่มใหม่</t>
        </is>
      </c>
      <c r="H30" s="5" t="inlineStr">
        <is>
          <t>มีในกระบวนการของงานอ้างอิง Tzitzili 2025 (S11) หัวข้อแยกสารประกอบเอมีน–กรด</t>
        </is>
      </c>
      <c r="I30" s="9" t="inlineStr">
        <is>
          <t>ประมาณการ – ต้องขอใบเสนอราคา</t>
        </is>
      </c>
      <c r="J30" s="5" t="inlineStr">
        <is>
          <t>ผู้ผลิตถังความดันในไทย</t>
        </is>
      </c>
    </row>
    <row r="31">
      <c r="A31" s="5" t="inlineStr">
        <is>
          <t>3.5</t>
        </is>
      </c>
      <c r="B31" s="5" t="inlineStr">
        <is>
          <t>Thermal Dissociation Column</t>
        </is>
      </c>
      <c r="C31" s="5" t="inlineStr">
        <is>
          <t>หอแยกกรดออกจากเอมีนด้วยความร้อน SS316L/Ti</t>
        </is>
      </c>
      <c r="D31" s="6" t="n">
        <v>1</v>
      </c>
      <c r="E31" s="11" t="n">
        <v>1600000</v>
      </c>
      <c r="F31" s="8">
        <f>D31*E31</f>
        <v/>
      </c>
      <c r="G31" s="5" t="inlineStr">
        <is>
          <t>คงไว้</t>
        </is>
      </c>
      <c r="H31" s="5" t="inlineStr"/>
      <c r="I31" s="5" t="inlineStr">
        <is>
          <t>ราคาจากทีม (อ้างเว็บผู้ขาย ยังไม่ใช่ใบเสนอราคา)</t>
        </is>
      </c>
      <c r="J31" s="5" t="inlineStr">
        <is>
          <t>Sulzer Chemtech</t>
        </is>
      </c>
    </row>
    <row r="32">
      <c r="A32" s="5" t="inlineStr">
        <is>
          <t>3.6</t>
        </is>
      </c>
      <c r="B32" s="5" t="inlineStr">
        <is>
          <t>Vacuum Pump สำหรับหอแยก</t>
        </is>
      </c>
      <c r="C32" s="5" t="inlineStr">
        <is>
          <t>ปั๊มสุญญากาศทนกรด</t>
        </is>
      </c>
      <c r="D32" s="6" t="n">
        <v>1</v>
      </c>
      <c r="E32" s="7" t="n">
        <v>250000</v>
      </c>
      <c r="F32" s="8">
        <f>D32*E32</f>
        <v/>
      </c>
      <c r="G32" s="10" t="inlineStr">
        <is>
          <t>เพิ่มใหม่</t>
        </is>
      </c>
      <c r="H32" s="5" t="inlineStr">
        <is>
          <t>การแยกกรดจากเอมีนทำภายใต้สุญญากาศเพื่อลดอุณหภูมิ</t>
        </is>
      </c>
      <c r="I32" s="9" t="inlineStr">
        <is>
          <t>ประมาณการ – ต้องขอใบเสนอราคา</t>
        </is>
      </c>
      <c r="J32" s="5" t="inlineStr">
        <is>
          <t>Busch / Edwards</t>
        </is>
      </c>
    </row>
    <row r="33">
      <c r="A33" s="5" t="inlineStr">
        <is>
          <t>3.7</t>
        </is>
      </c>
      <c r="B33" s="5" t="inlineStr">
        <is>
          <t>Formic Acid Condenser &amp; Chiller 30 kW</t>
        </is>
      </c>
      <c r="C33" s="5" t="inlineStr">
        <is>
          <t>ควบแน่นไอกรดเป็นของเหลว</t>
        </is>
      </c>
      <c r="D33" s="6" t="n">
        <v>1</v>
      </c>
      <c r="E33" s="11" t="n">
        <v>550000</v>
      </c>
      <c r="F33" s="8">
        <f>D33*E33</f>
        <v/>
      </c>
      <c r="G33" s="5" t="inlineStr">
        <is>
          <t>คงไว้</t>
        </is>
      </c>
      <c r="H33" s="5" t="inlineStr"/>
      <c r="I33" s="5" t="inlineStr">
        <is>
          <t>ราคาจากทีม (อ้างเว็บผู้ขาย ยังไม่ใช่ใบเสนอราคา)</t>
        </is>
      </c>
      <c r="J33" s="5" t="inlineStr">
        <is>
          <t>Alfa Laval</t>
        </is>
      </c>
    </row>
    <row r="34">
      <c r="A34" s="5" t="inlineStr">
        <is>
          <t>3.8</t>
        </is>
      </c>
      <c r="B34" s="5" t="inlineStr">
        <is>
          <t>Amine Recycle Pump</t>
        </is>
      </c>
      <c r="C34" s="5" t="inlineStr">
        <is>
          <t>ปั๊มหมุนเวียนเอมีนกลับเตา</t>
        </is>
      </c>
      <c r="D34" s="6" t="n">
        <v>1</v>
      </c>
      <c r="E34" s="11" t="n">
        <v>420000</v>
      </c>
      <c r="F34" s="8">
        <f>D34*E34</f>
        <v/>
      </c>
      <c r="G34" s="5" t="inlineStr">
        <is>
          <t>คงไว้</t>
        </is>
      </c>
      <c r="H34" s="5" t="inlineStr"/>
      <c r="I34" s="5" t="inlineStr">
        <is>
          <t>ราคาจากทีม (อ้างเว็บผู้ขาย ยังไม่ใช่ใบเสนอราคา)</t>
        </is>
      </c>
      <c r="J34" s="5" t="inlineStr">
        <is>
          <t>Teikoku</t>
        </is>
      </c>
    </row>
    <row r="35">
      <c r="A35" s="5" t="inlineStr">
        <is>
          <t>3.9</t>
        </is>
      </c>
      <c r="B35" s="5" t="inlineStr">
        <is>
          <t>ตัวเร่ง Ru แบบเอกพันธ์ + trihexylamine ตั้งต้น</t>
        </is>
      </c>
      <c r="C35" s="5" t="inlineStr">
        <is>
          <t>ตามงานอ้างอิง: Ru 250 ppm + trihexylamine (S11)</t>
        </is>
      </c>
      <c r="D35" s="6" t="n">
        <v>1</v>
      </c>
      <c r="E35" s="7" t="n">
        <v>900000</v>
      </c>
      <c r="F35" s="8">
        <f>D35*E35</f>
        <v/>
      </c>
      <c r="G35" s="9" t="inlineStr">
        <is>
          <t>ปรับ</t>
        </is>
      </c>
      <c r="H35" s="5" t="inlineStr">
        <is>
          <t>เดิมเป็น Ru/C (แบบวิวิธพันธ์) ซึ่งงานอ้างอิงพบว่าไม่คุ้ม (Case B); ปริมาณเอมีนต้องพอเต็มระบบ 300 L</t>
        </is>
      </c>
      <c r="I35" s="9" t="inlineStr">
        <is>
          <t>ประมาณการ – ต้องขอใบเสนอราคา</t>
        </is>
      </c>
      <c r="J35" s="5" t="inlineStr">
        <is>
          <t>Sigma-Aldrich / TCI / ผู้ผลิตเอมีนเกรดอุตสาหกรรม</t>
        </is>
      </c>
    </row>
    <row r="36">
      <c r="E36" s="12" t="inlineStr">
        <is>
          <t>รวมโมดูล</t>
        </is>
      </c>
      <c r="F36" s="13">
        <f>SUM(F27:F35)</f>
        <v/>
      </c>
    </row>
    <row r="38">
      <c r="A38" s="4" t="inlineStr">
        <is>
          <t>โมดูล 4: จัดเก็บ บรรจุ และบำบัดไอกรด</t>
        </is>
      </c>
    </row>
    <row r="39">
      <c r="A39" s="5" t="inlineStr">
        <is>
          <t>4.1</t>
        </is>
      </c>
      <c r="B39" s="5" t="inlineStr">
        <is>
          <t>Formic Acid Storage Tank 5 m³</t>
        </is>
      </c>
      <c r="C39" s="5" t="inlineStr">
        <is>
          <t>HDPE/FRP lined ทนกรด (เก็บได้ ~5 วัน)</t>
        </is>
      </c>
      <c r="D39" s="6" t="n">
        <v>1</v>
      </c>
      <c r="E39" s="7" t="n">
        <v>300000</v>
      </c>
      <c r="F39" s="8">
        <f>D39*E39</f>
        <v/>
      </c>
      <c r="G39" s="9" t="inlineStr">
        <is>
          <t>ปรับ</t>
        </is>
      </c>
      <c r="H39" s="5" t="inlineStr">
        <is>
          <t>เดิม 15 m³; ผลิต ~0.9 ตัน/วัน ส่งออกเป็น IBC ทุก 1–2 วัน</t>
        </is>
      </c>
      <c r="I39" s="9" t="inlineStr">
        <is>
          <t>ประมาณการ – ต้องขอใบเสนอราคา</t>
        </is>
      </c>
      <c r="J39" s="5" t="inlineStr">
        <is>
          <t>Premier Products Thailand</t>
        </is>
      </c>
    </row>
    <row r="40">
      <c r="A40" s="5" t="inlineStr">
        <is>
          <t>4.2</t>
        </is>
      </c>
      <c r="B40" s="5" t="inlineStr">
        <is>
          <t>IBC Filling Station + Platform Scale</t>
        </is>
      </c>
      <c r="C40" s="5" t="inlineStr">
        <is>
          <t>จุดบรรจุ IBC 1,000 L + ตาชั่งดิจิทัล (ใช้วัดปริมาณผลผลิตแทน Coriolis)</t>
        </is>
      </c>
      <c r="D40" s="6" t="n">
        <v>1</v>
      </c>
      <c r="E40" s="7" t="n">
        <v>250000</v>
      </c>
      <c r="F40" s="8">
        <f>D40*E40</f>
        <v/>
      </c>
      <c r="G40" s="9" t="inlineStr">
        <is>
          <t>ปรับ</t>
        </is>
      </c>
      <c r="H40" s="5" t="inlineStr">
        <is>
          <t>ใช้ปั๊มถ่าย 4.4 ที่มีอยู่แล้ว ไม่ต้องซื้อสกิดบรรจุเต็มชุด</t>
        </is>
      </c>
      <c r="I40" s="9" t="inlineStr">
        <is>
          <t>ประมาณการ – ต้องขอใบเสนอราคา</t>
        </is>
      </c>
      <c r="J40" s="5" t="inlineStr">
        <is>
          <t>Mettler Toledo / ผู้ขายตาชั่งในไทย</t>
        </is>
      </c>
    </row>
    <row r="41">
      <c r="A41" s="5" t="inlineStr">
        <is>
          <t>4.3</t>
        </is>
      </c>
      <c r="B41" s="5" t="inlineStr">
        <is>
          <t>Acid Vapor Wet Scrubber</t>
        </is>
      </c>
      <c r="C41" s="5" t="inlineStr">
        <is>
          <t>บำบัดไอกรดในพื้นที่</t>
        </is>
      </c>
      <c r="D41" s="6" t="n">
        <v>1</v>
      </c>
      <c r="E41" s="11" t="n">
        <v>320000</v>
      </c>
      <c r="F41" s="8">
        <f>D41*E41</f>
        <v/>
      </c>
      <c r="G41" s="5" t="inlineStr">
        <is>
          <t>คงไว้</t>
        </is>
      </c>
      <c r="H41" s="5" t="inlineStr"/>
      <c r="I41" s="5" t="inlineStr">
        <is>
          <t>ราคาจากทีม (อ้างเว็บผู้ขาย ยังไม่ใช่ใบเสนอราคา)</t>
        </is>
      </c>
      <c r="J41" s="5" t="inlineStr">
        <is>
          <t>Envitech</t>
        </is>
      </c>
    </row>
    <row r="42">
      <c r="A42" s="5" t="inlineStr">
        <is>
          <t>4.4</t>
        </is>
      </c>
      <c r="B42" s="5" t="inlineStr">
        <is>
          <t>Chemical Transfer Pump</t>
        </is>
      </c>
      <c r="C42" s="5" t="inlineStr">
        <is>
          <t>ปั๊มแม่เหล็ก (ใช้ 1 สำรอง 1)</t>
        </is>
      </c>
      <c r="D42" s="6" t="n">
        <v>2</v>
      </c>
      <c r="E42" s="11" t="n">
        <v>125000</v>
      </c>
      <c r="F42" s="8">
        <f>D42*E42</f>
        <v/>
      </c>
      <c r="G42" s="5" t="inlineStr">
        <is>
          <t>คงไว้</t>
        </is>
      </c>
      <c r="H42" s="5" t="inlineStr"/>
      <c r="I42" s="5" t="inlineStr">
        <is>
          <t>ราคาจากทีม (อ้างเว็บผู้ขาย ยังไม่ใช่ใบเสนอราคา)</t>
        </is>
      </c>
      <c r="J42" s="5" t="inlineStr">
        <is>
          <t>IWAKI Pumps Thailand</t>
        </is>
      </c>
    </row>
    <row r="43">
      <c r="E43" s="12" t="inlineStr">
        <is>
          <t>รวมโมดูล</t>
        </is>
      </c>
      <c r="F43" s="13">
        <f>SUM(F39:F42)</f>
        <v/>
      </c>
    </row>
    <row r="45">
      <c r="A45" s="4" t="inlineStr">
        <is>
          <t>โมดูล 5: เซนเซอร์ วาล์ว PLC และแดชบอร์ด</t>
        </is>
      </c>
    </row>
    <row r="46">
      <c r="A46" s="5" t="inlineStr">
        <is>
          <t>5.1</t>
        </is>
      </c>
      <c r="B46" s="5" t="inlineStr">
        <is>
          <t>Pressure Transmitter</t>
        </is>
      </c>
      <c r="C46" s="5" t="inlineStr">
        <is>
          <t>0–100 bar 4–20 mA HART</t>
        </is>
      </c>
      <c r="D46" s="6" t="n">
        <v>6</v>
      </c>
      <c r="E46" s="11" t="n">
        <v>65000</v>
      </c>
      <c r="F46" s="8">
        <f>D46*E46</f>
        <v/>
      </c>
      <c r="G46" s="5" t="inlineStr">
        <is>
          <t>คงไว้</t>
        </is>
      </c>
      <c r="H46" s="5" t="inlineStr"/>
      <c r="I46" s="5" t="inlineStr">
        <is>
          <t>ราคาจากทีม (อ้างเว็บผู้ขาย ยังไม่ใช่ใบเสนอราคา)</t>
        </is>
      </c>
      <c r="J46" s="5" t="inlineStr">
        <is>
          <t>Emerson / Yokogawa</t>
        </is>
      </c>
    </row>
    <row r="47">
      <c r="A47" s="5" t="inlineStr">
        <is>
          <t>5.2</t>
        </is>
      </c>
      <c r="B47" s="5" t="inlineStr">
        <is>
          <t>Temperature Transmitter + Thermowell</t>
        </is>
      </c>
      <c r="C47" s="5" t="inlineStr">
        <is>
          <t>Pt100 SS316L (เพิ่มจุดวัดหอดูดซับ/หอไล่/เครื่องแลกเปลี่ยน)</t>
        </is>
      </c>
      <c r="D47" s="6" t="n">
        <v>10</v>
      </c>
      <c r="E47" s="11" t="n">
        <v>28000</v>
      </c>
      <c r="F47" s="8">
        <f>D47*E47</f>
        <v/>
      </c>
      <c r="G47" s="9" t="inlineStr">
        <is>
          <t>ปรับ</t>
        </is>
      </c>
      <c r="H47" s="5" t="inlineStr">
        <is>
          <t>เดิม 8 จุด เพิ่มเป็น 10 สำหรับวงจร MEA</t>
        </is>
      </c>
      <c r="I47" s="5" t="inlineStr">
        <is>
          <t>ราคาจากทีม (อ้างเว็บผู้ขาย ยังไม่ใช่ใบเสนอราคา)</t>
        </is>
      </c>
      <c r="J47" s="5" t="inlineStr">
        <is>
          <t>Emerson Rosemount 644</t>
        </is>
      </c>
    </row>
    <row r="48">
      <c r="A48" s="5" t="inlineStr">
        <is>
          <t>5.3</t>
        </is>
      </c>
      <c r="B48" s="5" t="inlineStr">
        <is>
          <t>Thermal Mass Flow Controller</t>
        </is>
      </c>
      <c r="C48" s="5" t="inlineStr">
        <is>
          <t>คุมอัตรา H₂ และ CO₂ ป้อนเตา</t>
        </is>
      </c>
      <c r="D48" s="6" t="n">
        <v>2</v>
      </c>
      <c r="E48" s="11" t="n">
        <v>185000</v>
      </c>
      <c r="F48" s="8">
        <f>D48*E48</f>
        <v/>
      </c>
      <c r="G48" s="5" t="inlineStr">
        <is>
          <t>คงไว้</t>
        </is>
      </c>
      <c r="H48" s="5" t="inlineStr"/>
      <c r="I48" s="5" t="inlineStr">
        <is>
          <t>ราคาจากทีม (อ้างเว็บผู้ขาย ยังไม่ใช่ใบเสนอราคา)</t>
        </is>
      </c>
      <c r="J48" s="5" t="inlineStr">
        <is>
          <t>Brooks SLA5850</t>
        </is>
      </c>
    </row>
    <row r="49">
      <c r="A49" s="5" t="inlineStr">
        <is>
          <t>5.4</t>
        </is>
      </c>
      <c r="B49" s="5" t="inlineStr">
        <is>
          <t>Online pH Sensor</t>
        </is>
      </c>
      <c r="C49" s="5" t="inlineStr">
        <is>
          <t>วัดค่ากรดในสายผลิต</t>
        </is>
      </c>
      <c r="D49" s="6" t="n">
        <v>1</v>
      </c>
      <c r="E49" s="11" t="n">
        <v>120000</v>
      </c>
      <c r="F49" s="8">
        <f>D49*E49</f>
        <v/>
      </c>
      <c r="G49" s="9" t="inlineStr">
        <is>
          <t>ปรับ</t>
        </is>
      </c>
      <c r="H49" s="5" t="inlineStr">
        <is>
          <t>เดิม 2 ชุด ลดเหลือ 1</t>
        </is>
      </c>
      <c r="I49" s="5" t="inlineStr">
        <is>
          <t>ราคาจากทีม (อ้างเว็บผู้ขาย ยังไม่ใช่ใบเสนอราคา)</t>
        </is>
      </c>
      <c r="J49" s="5" t="inlineStr">
        <is>
          <t>Mettler Toledo InPro 4800</t>
        </is>
      </c>
    </row>
    <row r="50">
      <c r="A50" s="5" t="inlineStr">
        <is>
          <t>5.5</t>
        </is>
      </c>
      <c r="B50" s="5" t="inlineStr">
        <is>
          <t>Gas Detectors &amp; Safety System</t>
        </is>
      </c>
      <c r="C50" s="5" t="inlineStr">
        <is>
          <t>ตรวจ H₂ (PEM, เตา), CO₂ (หอดูดซับ), ไอกรด + ไซเรน</t>
        </is>
      </c>
      <c r="D50" s="6" t="n">
        <v>5</v>
      </c>
      <c r="E50" s="11" t="n">
        <v>55000</v>
      </c>
      <c r="F50" s="8">
        <f>D50*E50</f>
        <v/>
      </c>
      <c r="G50" s="9" t="inlineStr">
        <is>
          <t>ปรับ</t>
        </is>
      </c>
      <c r="H50" s="5" t="inlineStr">
        <is>
          <t>เดิม 4 จุด เพิ่มจุด H₂ ที่เตาปฏิกรณ์</t>
        </is>
      </c>
      <c r="I50" s="5" t="inlineStr">
        <is>
          <t>ราคาจากทีม (อ้างเว็บผู้ขาย ยังไม่ใช่ใบเสนอราคา)</t>
        </is>
      </c>
      <c r="J50" s="5" t="inlineStr">
        <is>
          <t>Honeywell XCD</t>
        </is>
      </c>
    </row>
    <row r="51">
      <c r="A51" s="5" t="inlineStr">
        <is>
          <t>5.6</t>
        </is>
      </c>
      <c r="B51" s="5" t="inlineStr">
        <is>
          <t>Pneumatic Control &amp; ESD Valves</t>
        </is>
      </c>
      <c r="C51" s="5" t="inlineStr">
        <is>
          <t>วาล์วคุม + ตัดฉุกเฉิน Ex-proof</t>
        </is>
      </c>
      <c r="D51" s="6" t="n">
        <v>6</v>
      </c>
      <c r="E51" s="11" t="n">
        <v>110000</v>
      </c>
      <c r="F51" s="8">
        <f>D51*E51</f>
        <v/>
      </c>
      <c r="G51" s="5" t="inlineStr">
        <is>
          <t>คงไว้</t>
        </is>
      </c>
      <c r="H51" s="5" t="inlineStr"/>
      <c r="I51" s="5" t="inlineStr">
        <is>
          <t>ราคาจากทีม (อ้างเว็บผู้ขาย ยังไม่ใช่ใบเสนอราคา)</t>
        </is>
      </c>
      <c r="J51" s="5" t="inlineStr">
        <is>
          <t>Samson / ASCO</t>
        </is>
      </c>
    </row>
    <row r="52">
      <c r="A52" s="5" t="inlineStr">
        <is>
          <t>5.7</t>
        </is>
      </c>
      <c r="B52" s="5" t="inlineStr">
        <is>
          <t>PSV Safety Valves &amp; Rupture Discs</t>
        </is>
      </c>
      <c r="C52" s="5" t="inlineStr">
        <is>
          <t>เพิ่มจุดหอไล่ CO₂</t>
        </is>
      </c>
      <c r="D52" s="6" t="n">
        <v>5</v>
      </c>
      <c r="E52" s="11" t="n">
        <v>60000</v>
      </c>
      <c r="F52" s="8">
        <f>D52*E52</f>
        <v/>
      </c>
      <c r="G52" s="9" t="inlineStr">
        <is>
          <t>ปรับ</t>
        </is>
      </c>
      <c r="H52" s="5" t="inlineStr">
        <is>
          <t>เดิม 4 เพิ่ม 1 สำหรับหอไล่</t>
        </is>
      </c>
      <c r="I52" s="5" t="inlineStr">
        <is>
          <t>ราคาจากทีม (อ้างเว็บผู้ขาย ยังไม่ใช่ใบเสนอราคา)</t>
        </is>
      </c>
      <c r="J52" s="5" t="inlineStr">
        <is>
          <t>Leser / Fike</t>
        </is>
      </c>
    </row>
    <row r="53">
      <c r="A53" s="5" t="inlineStr">
        <is>
          <t>5.8</t>
        </is>
      </c>
      <c r="B53" s="5" t="inlineStr">
        <is>
          <t>PLC Automation System</t>
        </is>
      </c>
      <c r="C53" s="5" t="inlineStr">
        <is>
          <t>Siemens S7-1500 + HMI 15"</t>
        </is>
      </c>
      <c r="D53" s="6" t="n">
        <v>1</v>
      </c>
      <c r="E53" s="11" t="n">
        <v>700000</v>
      </c>
      <c r="F53" s="8">
        <f>D53*E53</f>
        <v/>
      </c>
      <c r="G53" s="5" t="inlineStr">
        <is>
          <t>คงไว้</t>
        </is>
      </c>
      <c r="H53" s="5" t="inlineStr"/>
      <c r="I53" s="5" t="inlineStr">
        <is>
          <t>ราคาจากทีม (อ้างเว็บผู้ขาย ยังไม่ใช่ใบเสนอราคา)</t>
        </is>
      </c>
      <c r="J53" s="5" t="inlineStr">
        <is>
          <t>Siemens</t>
        </is>
      </c>
    </row>
    <row r="54">
      <c r="A54" s="5" t="inlineStr">
        <is>
          <t>5.9</t>
        </is>
      </c>
      <c r="B54" s="5" t="inlineStr">
        <is>
          <t>Industrial IoT Gateway</t>
        </is>
      </c>
      <c r="C54" s="5" t="inlineStr">
        <is>
          <t>4G/5G VPN</t>
        </is>
      </c>
      <c r="D54" s="6" t="n">
        <v>1</v>
      </c>
      <c r="E54" s="11" t="n">
        <v>120000</v>
      </c>
      <c r="F54" s="8">
        <f>D54*E54</f>
        <v/>
      </c>
      <c r="G54" s="5" t="inlineStr">
        <is>
          <t>คงไว้</t>
        </is>
      </c>
      <c r="H54" s="5" t="inlineStr"/>
      <c r="I54" s="5" t="inlineStr">
        <is>
          <t>ราคาจากทีม (อ้างเว็บผู้ขาย ยังไม่ใช่ใบเสนอราคา)</t>
        </is>
      </c>
      <c r="J54" s="5" t="inlineStr">
        <is>
          <t>Moxa / Advantech</t>
        </is>
      </c>
    </row>
    <row r="55">
      <c r="A55" s="5" t="inlineStr">
        <is>
          <t>5.10</t>
        </is>
      </c>
      <c r="B55" s="5" t="inlineStr">
        <is>
          <t>Web/Mobile Dashboard</t>
        </is>
      </c>
      <c r="C55" s="5" t="inlineStr">
        <is>
          <t>ThingsBoard Community (ฟรี) บนคลาวด์ ทีมพัฒนาเอง</t>
        </is>
      </c>
      <c r="D55" s="6" t="n">
        <v>1</v>
      </c>
      <c r="E55" s="7" t="n">
        <v>80000</v>
      </c>
      <c r="F55" s="8">
        <f>D55*E55</f>
        <v/>
      </c>
      <c r="G55" s="9" t="inlineStr">
        <is>
          <t>ปรับ</t>
        </is>
      </c>
      <c r="H55" s="5" t="inlineStr">
        <is>
          <t>เดิม 380,000; ทีมมีประสบการณ์ ESP32/แดชบอร์ดอยู่แล้ว เหลือแค่ค่าเซิร์ฟเวอร์</t>
        </is>
      </c>
      <c r="I55" s="9" t="inlineStr">
        <is>
          <t>ประมาณการ – ต้องขอใบเสนอราคา</t>
        </is>
      </c>
      <c r="J55" s="5" t="inlineStr">
        <is>
          <t>thingsboard.io (Community Edition)</t>
        </is>
      </c>
    </row>
    <row r="56">
      <c r="A56" s="5" t="inlineStr">
        <is>
          <t>5.11</t>
        </is>
      </c>
      <c r="B56" s="5" t="inlineStr">
        <is>
          <t>Instrumentation Cables &amp; Ex-proof Conduit</t>
        </is>
      </c>
      <c r="C56" s="5" t="inlineStr"/>
      <c r="D56" s="6" t="n">
        <v>1</v>
      </c>
      <c r="E56" s="11" t="n">
        <v>320000</v>
      </c>
      <c r="F56" s="8">
        <f>D56*E56</f>
        <v/>
      </c>
      <c r="G56" s="5" t="inlineStr">
        <is>
          <t>คงไว้</t>
        </is>
      </c>
      <c r="H56" s="5" t="inlineStr"/>
      <c r="I56" s="5" t="inlineStr">
        <is>
          <t>ราคาจากทีม (อ้างเว็บผู้ขาย ยังไม่ใช่ใบเสนอราคา)</t>
        </is>
      </c>
      <c r="J56" s="5" t="inlineStr">
        <is>
          <t>Phelps Dodge Thailand</t>
        </is>
      </c>
    </row>
    <row r="57">
      <c r="E57" s="12" t="inlineStr">
        <is>
          <t>รวมโมดูล</t>
        </is>
      </c>
      <c r="F57" s="13">
        <f>SUM(F46:F56)</f>
        <v/>
      </c>
    </row>
    <row r="59">
      <c r="A59" s="4" t="inlineStr">
        <is>
          <t>โมดูล 6: โครงสร้าง ท่อ ระบบไฟ และงานวิศวกรรม</t>
        </is>
      </c>
    </row>
    <row r="60">
      <c r="A60" s="5" t="inlineStr">
        <is>
          <t>6.1</t>
        </is>
      </c>
      <c r="B60" s="5" t="inlineStr">
        <is>
          <t>Skid Frame + Column Support</t>
        </is>
      </c>
      <c r="C60" s="5" t="inlineStr">
        <is>
          <t>ตู้ 40 ฟุตสำหรับอุปกรณ์ + โครงเหล็กตั้งหอดูดซับ/หอไล่ด้านนอก</t>
        </is>
      </c>
      <c r="D60" s="6" t="n">
        <v>1</v>
      </c>
      <c r="E60" s="7" t="n">
        <v>700000</v>
      </c>
      <c r="F60" s="8">
        <f>D60*E60</f>
        <v/>
      </c>
      <c r="G60" s="9" t="inlineStr">
        <is>
          <t>ปรับ</t>
        </is>
      </c>
      <c r="H60" s="5" t="inlineStr">
        <is>
          <t>หอ MEA สูงเกินตู้คอนเทนเนอร์ ต้องมีโครงตั้งหอ</t>
        </is>
      </c>
      <c r="I60" s="9" t="inlineStr">
        <is>
          <t>ประมาณการ – ต้องขอใบเสนอราคา</t>
        </is>
      </c>
      <c r="J60" s="5" t="inlineStr">
        <is>
          <t>Master Container Thailand</t>
        </is>
      </c>
    </row>
    <row r="61">
      <c r="A61" s="5" t="inlineStr">
        <is>
          <t>6.2</t>
        </is>
      </c>
      <c r="B61" s="5" t="inlineStr">
        <is>
          <t>High-Pressure Piping &amp; Swagelok</t>
        </is>
      </c>
      <c r="C61" s="5" t="inlineStr">
        <is>
          <t>SS316L Sch 80</t>
        </is>
      </c>
      <c r="D61" s="6" t="n">
        <v>1</v>
      </c>
      <c r="E61" s="11" t="n">
        <v>780000</v>
      </c>
      <c r="F61" s="8">
        <f>D61*E61</f>
        <v/>
      </c>
      <c r="G61" s="5" t="inlineStr">
        <is>
          <t>คงไว้</t>
        </is>
      </c>
      <c r="H61" s="5" t="inlineStr"/>
      <c r="I61" s="5" t="inlineStr">
        <is>
          <t>ราคาจากทีม (อ้างเว็บผู้ขาย ยังไม่ใช่ใบเสนอราคา)</t>
        </is>
      </c>
      <c r="J61" s="5" t="inlineStr">
        <is>
          <t>Swagelok Thailand</t>
        </is>
      </c>
    </row>
    <row r="62">
      <c r="A62" s="5" t="inlineStr">
        <is>
          <t>6.3</t>
        </is>
      </c>
      <c r="B62" s="5" t="inlineStr">
        <is>
          <t>Fire Extinguisher &amp; Eyewash Station</t>
        </is>
      </c>
      <c r="C62" s="5" t="inlineStr"/>
      <c r="D62" s="6" t="n">
        <v>1</v>
      </c>
      <c r="E62" s="11" t="n">
        <v>250000</v>
      </c>
      <c r="F62" s="8">
        <f>D62*E62</f>
        <v/>
      </c>
      <c r="G62" s="5" t="inlineStr">
        <is>
          <t>คงไว้</t>
        </is>
      </c>
      <c r="H62" s="5" t="inlineStr"/>
      <c r="I62" s="5" t="inlineStr">
        <is>
          <t>ราคาจากทีม (อ้างเว็บผู้ขาย ยังไม่ใช่ใบเสนอราคา)</t>
        </is>
      </c>
      <c r="J62" s="5" t="inlineStr">
        <is>
          <t>Hawsco</t>
        </is>
      </c>
    </row>
    <row r="63">
      <c r="A63" s="5" t="inlineStr">
        <is>
          <t>6.4</t>
        </is>
      </c>
      <c r="B63" s="5" t="inlineStr">
        <is>
          <t>Engineering, P&amp;ID, HAZOP &amp; Commissioning</t>
        </is>
      </c>
      <c r="C63" s="5" t="inlineStr"/>
      <c r="D63" s="6" t="n">
        <v>1</v>
      </c>
      <c r="E63" s="11" t="n">
        <v>880000</v>
      </c>
      <c r="F63" s="8">
        <f>D63*E63</f>
        <v/>
      </c>
      <c r="G63" s="5" t="inlineStr">
        <is>
          <t>คงไว้</t>
        </is>
      </c>
      <c r="H63" s="5" t="inlineStr">
        <is>
          <t>จำเป็นเพื่อขออนุญาตติดตั้งในพื้นที่ กฟผ.</t>
        </is>
      </c>
      <c r="I63" s="5" t="inlineStr">
        <is>
          <t>ราคาจากทีม (อ้างเว็บผู้ขาย ยังไม่ใช่ใบเสนอราคา)</t>
        </is>
      </c>
      <c r="J63" s="5" t="inlineStr">
        <is>
          <t>สภาวิศวกร</t>
        </is>
      </c>
    </row>
    <row r="64">
      <c r="A64" s="5" t="inlineStr">
        <is>
          <t>6.5</t>
        </is>
      </c>
      <c r="B64" s="5" t="inlineStr">
        <is>
          <t>Electrical Panel &amp; 400 V Feeder ~200 kVA</t>
        </is>
      </c>
      <c r="C64" s="5" t="inlineStr">
        <is>
          <t>ตู้ไฟ + สายป้อนจากโรงไฟฟ้า (PEM 100 kW + อุปกรณ์อื่น)</t>
        </is>
      </c>
      <c r="D64" s="6" t="n">
        <v>1</v>
      </c>
      <c r="E64" s="7" t="n">
        <v>500000</v>
      </c>
      <c r="F64" s="8">
        <f>D64*E64</f>
        <v/>
      </c>
      <c r="G64" s="10" t="inlineStr">
        <is>
          <t>เพิ่มใหม่</t>
        </is>
      </c>
      <c r="H64" s="5" t="inlineStr">
        <is>
          <t>เดิมไม่มี; PEM ต้องการไฟ 100 kW ต่อเนื่อง</t>
        </is>
      </c>
      <c r="I64" s="9" t="inlineStr">
        <is>
          <t>ประมาณการ – ต้องขอใบเสนอราคา</t>
        </is>
      </c>
      <c r="J64" s="5" t="inlineStr">
        <is>
          <t>ผู้รับเหมาไฟฟ้า / กฟผ.</t>
        </is>
      </c>
    </row>
    <row r="65">
      <c r="A65" s="5" t="inlineStr">
        <is>
          <t>6.6</t>
        </is>
      </c>
      <c r="B65" s="5" t="inlineStr">
        <is>
          <t>Utility Tie-in (ไอน้ำ, น้ำหล่อเย็น, ไอเสีย)</t>
        </is>
      </c>
      <c r="C65" s="5" t="inlineStr">
        <is>
          <t>ต่อไอน้ำความดันต่ำ น้ำหล่อเย็น และท่อไอเสียจากระบบของโรงไฟฟ้า</t>
        </is>
      </c>
      <c r="D65" s="6" t="n">
        <v>1</v>
      </c>
      <c r="E65" s="7" t="n">
        <v>400000</v>
      </c>
      <c r="F65" s="8">
        <f>D65*E65</f>
        <v/>
      </c>
      <c r="G65" s="10" t="inlineStr">
        <is>
          <t>เพิ่มใหม่</t>
        </is>
      </c>
      <c r="H65" s="5" t="inlineStr">
        <is>
          <t>ใช้ไอน้ำเหลือทิ้งกับหอไล่ CO₂ แทนไฟฟ้า</t>
        </is>
      </c>
      <c r="I65" s="9" t="inlineStr">
        <is>
          <t>ประมาณการ – ต้องขอใบเสนอราคา</t>
        </is>
      </c>
      <c r="J65" s="5" t="inlineStr">
        <is>
          <t>ผู้รับเหมาท่อ / กฟผ.</t>
        </is>
      </c>
    </row>
    <row r="66">
      <c r="E66" s="12" t="inlineStr">
        <is>
          <t>รวมโมดูล</t>
        </is>
      </c>
      <c r="F66" s="13">
        <f>SUM(F60:F65)</f>
        <v/>
      </c>
    </row>
    <row r="68">
      <c r="E68" s="12" t="inlineStr">
        <is>
          <t>รวมค่าอุปกรณ์ (ก่อนสำรอง)</t>
        </is>
      </c>
      <c r="F68" s="13">
        <f>F17+F24+F36+F43+F57+F66</f>
        <v/>
      </c>
    </row>
    <row r="69">
      <c r="E69" s="12" t="inlineStr">
        <is>
          <t>เงินสำรองเผื่อเหลือเผื่อขาด (%)</t>
        </is>
      </c>
      <c r="F69" s="14" t="n">
        <v>0.05</v>
      </c>
      <c r="H69" s="2" t="inlineStr">
        <is>
          <t>งานนำร่องทั่วไปควรสำรอง 10–15%; ถ้าต้องการ 10% ต้องตัดเพิ่ม (ดูชีต ข้อควรทราบ)</t>
        </is>
      </c>
    </row>
    <row r="70">
      <c r="E70" s="12" t="inlineStr">
        <is>
          <t>เงินสำรอง (บาท)</t>
        </is>
      </c>
      <c r="F70" s="15">
        <f>F68*F69</f>
        <v/>
      </c>
    </row>
    <row r="71">
      <c r="E71" s="16" t="inlineStr">
        <is>
          <t>รวมทั้งสิ้น</t>
        </is>
      </c>
      <c r="F71" s="17">
        <f>F68+F70</f>
        <v/>
      </c>
    </row>
    <row r="72">
      <c r="E72" s="12" t="inlineStr">
        <is>
          <t>งบที่ตั้งไว้</t>
        </is>
      </c>
      <c r="F72" s="18" t="n">
        <v>30000000</v>
      </c>
    </row>
    <row r="73">
      <c r="E73" s="12" t="inlineStr">
        <is>
          <t>เหลือ (ติดลบ = เกินงบ)</t>
        </is>
      </c>
      <c r="F73" s="13">
        <f>F72-F71</f>
        <v/>
      </c>
    </row>
    <row r="74">
      <c r="E74" s="12" t="inlineStr">
        <is>
          <t>สรุป</t>
        </is>
      </c>
      <c r="F74" s="12">
        <f>IF(F71&lt;=F72,"อยู่ในงบ","เกินงบ")</f>
        <v/>
      </c>
    </row>
  </sheetData>
  <mergeCells count="8">
    <mergeCell ref="A1:J1"/>
    <mergeCell ref="A5:J5"/>
    <mergeCell ref="A45:J45"/>
    <mergeCell ref="A59:J59"/>
    <mergeCell ref="A26:J26"/>
    <mergeCell ref="A38:J38"/>
    <mergeCell ref="A2:J2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6" customWidth="1" min="3" max="3"/>
    <col width="60" customWidth="1" min="4" max="4"/>
  </cols>
  <sheetData>
    <row r="1">
      <c r="A1" s="1" t="inlineStr">
        <is>
          <t>รายการที่ตัดออกจากไฟล์ของทีม</t>
        </is>
      </c>
    </row>
    <row r="3">
      <c r="A3" s="19" t="inlineStr">
        <is>
          <t>ลำดับเดิม</t>
        </is>
      </c>
      <c r="B3" s="19" t="inlineStr">
        <is>
          <t>รายการ</t>
        </is>
      </c>
      <c r="C3" s="19" t="inlineStr">
        <is>
          <t>ราคาเดิม (บาท)</t>
        </is>
      </c>
      <c r="D3" s="19" t="inlineStr">
        <is>
          <t>เหตุผล</t>
        </is>
      </c>
    </row>
    <row r="4">
      <c r="A4" s="5" t="inlineStr">
        <is>
          <t>1.2 เดิม</t>
        </is>
      </c>
      <c r="B4" s="5" t="inlineStr">
        <is>
          <t>Pre-treatment &amp; Dehumidifier (HEPA + Desiccant)</t>
        </is>
      </c>
      <c r="C4" s="11" t="n">
        <v>650000</v>
      </c>
      <c r="D4" s="5" t="inlineStr">
        <is>
          <t>ไอเสียโรงไฟฟ้าก๊าซไม่มีเถ้า ใช้หอทำเย็น (1.2 ใหม่) แทน</t>
        </is>
      </c>
    </row>
    <row r="5">
      <c r="A5" s="5" t="inlineStr">
        <is>
          <t>1.3 เดิม</t>
        </is>
      </c>
      <c r="B5" s="5" t="inlineStr">
        <is>
          <t>PCHE Cryogenic Heat Exchanger −160 °C</t>
        </is>
      </c>
      <c r="C5" s="11" t="n">
        <v>1750000</v>
      </c>
      <c r="D5" s="5" t="inlineStr">
        <is>
          <t>เลิกใช้ LNG แล้ว (S17)</t>
        </is>
      </c>
    </row>
    <row r="6">
      <c r="A6" s="5" t="inlineStr">
        <is>
          <t>1.4 เดิม</t>
        </is>
      </c>
      <c r="B6" s="5" t="inlineStr">
        <is>
          <t>CO₂ Desublimation Vessel</t>
        </is>
      </c>
      <c r="C6" s="11" t="n">
        <v>1850000</v>
      </c>
      <c r="D6" s="5" t="inlineStr">
        <is>
          <t>เลิกใช้การทำน้ำแข็งแห้ง</t>
        </is>
      </c>
    </row>
    <row r="7">
      <c r="A7" s="5" t="inlineStr">
        <is>
          <t>1.5 เดิม</t>
        </is>
      </c>
      <c r="B7" s="5" t="inlineStr">
        <is>
          <t>Cryogenic Liquid CO₂ Melter</t>
        </is>
      </c>
      <c r="C7" s="11" t="n">
        <v>1200000</v>
      </c>
      <c r="D7" s="5" t="inlineStr">
        <is>
          <t>เลิกใช้การทำน้ำแข็งแห้ง</t>
        </is>
      </c>
    </row>
    <row r="8">
      <c r="A8" s="5" t="inlineStr">
        <is>
          <t>5.3 เดิม</t>
        </is>
      </c>
      <c r="B8" s="5" t="inlineStr">
        <is>
          <t>Coriolis Mass Flow Meter × 2</t>
        </is>
      </c>
      <c r="C8" s="11" t="n">
        <v>760000</v>
      </c>
      <c r="D8" s="5" t="inlineStr">
        <is>
          <t>ใช้ตาชั่ง IBC (4.2) วัดผลผลิตแทน</t>
        </is>
      </c>
    </row>
    <row r="9">
      <c r="B9" s="12" t="inlineStr">
        <is>
          <t>รวมที่ตัดออก</t>
        </is>
      </c>
      <c r="C9" s="15">
        <f>SUM(C4:C8)</f>
        <v/>
      </c>
    </row>
    <row r="11">
      <c r="A11" s="2" t="inlineStr">
        <is>
          <t>หมายเหตุ: รายการอื่นที่ลดจำนวน/ราคา (DI, ถังเก็บ, สกิดบรรจุ, pH, แดชบอร์ด) ดูคอลัมน์ ‘เปลี่ยนจากไฟล์ทีม = ปรับ’ ในชีต งบลงทุน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62" customWidth="1" min="3" max="3"/>
  </cols>
  <sheetData>
    <row r="1">
      <c r="A1" s="1" t="inlineStr">
        <is>
          <t>ขนาดการผลิตของ Skid (คำนวณจากกำลัง PEM)</t>
        </is>
      </c>
    </row>
    <row r="2">
      <c r="A2" s="19" t="inlineStr">
        <is>
          <t>รายการ</t>
        </is>
      </c>
      <c r="B2" s="19" t="inlineStr">
        <is>
          <t>ค่า</t>
        </is>
      </c>
      <c r="C2" s="19" t="inlineStr">
        <is>
          <t>ที่มา / หมายเหตุ</t>
        </is>
      </c>
    </row>
    <row r="3">
      <c r="A3" s="20" t="inlineStr">
        <is>
          <t>กำลัง PEM (kW)</t>
        </is>
      </c>
      <c r="B3" s="21" t="n">
        <v>100</v>
      </c>
      <c r="C3" s="22" t="inlineStr">
        <is>
          <t>ไฟล์ของทีม (รายการ 2.1)</t>
        </is>
      </c>
    </row>
    <row r="4">
      <c r="A4" s="20" t="inlineStr">
        <is>
          <t>ไฟฟ้าต่อ H₂ (kWh/kg)</t>
        </is>
      </c>
      <c r="B4" s="21" t="n">
        <v>51.2</v>
      </c>
      <c r="C4" s="22" t="inlineStr">
        <is>
          <t>S09 IRENA 2020</t>
        </is>
      </c>
    </row>
    <row r="5">
      <c r="A5" s="20" t="inlineStr">
        <is>
          <t>ชั่วโมงเดินเครื่องต่อปี</t>
        </is>
      </c>
      <c r="B5" s="20">
        <f>0.65*8760</f>
        <v/>
      </c>
      <c r="C5" s="22" t="inlineStr">
        <is>
          <t>S04: CF 0.65 ของเครื่อง 1–2 (สมมติฐานทีม)</t>
        </is>
      </c>
    </row>
    <row r="6">
      <c r="A6" s="20" t="inlineStr">
        <is>
          <t>CO₂ ที่ใช้ต่อกรด (kg/kg HCOOH)</t>
        </is>
      </c>
      <c r="B6" s="20">
        <f>14000000/13030330</f>
        <v/>
      </c>
      <c r="C6" s="22" t="inlineStr">
        <is>
          <t>S11 Tzitzili 2025: CO₂ ~14 kt/yr ต่อกรด 13,030 t/yr</t>
        </is>
      </c>
    </row>
    <row r="7">
      <c r="A7" s="20" t="inlineStr">
        <is>
          <t>อัตราดักจับ CO₂</t>
        </is>
      </c>
      <c r="B7" s="23" t="n">
        <v>0.9</v>
      </c>
      <c r="C7" s="22" t="inlineStr">
        <is>
          <t>S08 NETL</t>
        </is>
      </c>
    </row>
    <row r="8">
      <c r="A8" s="20" t="inlineStr">
        <is>
          <t>CO₂ ในไอเสีย (สัดส่วนปริมาตร)</t>
        </is>
      </c>
      <c r="B8" s="23" t="n">
        <v>0.04</v>
      </c>
      <c r="C8" s="22" t="inlineStr">
        <is>
          <t>S05</t>
        </is>
      </c>
    </row>
    <row r="9">
      <c r="A9" s="20" t="inlineStr">
        <is>
          <t>MEA ที่อุ้ม CO₂ ได้ต่อรอบ (อิ่ม − จาง, mol/mol)</t>
        </is>
      </c>
      <c r="B9" s="20">
        <f>0.5-0.2</f>
        <v/>
      </c>
      <c r="C9" s="22" t="inlineStr">
        <is>
          <t>S19</t>
        </is>
      </c>
    </row>
    <row r="10">
      <c r="A10" s="20" t="inlineStr">
        <is>
          <t>ความร้อนไล่ CO₂ (GJ/t CO₂)</t>
        </is>
      </c>
      <c r="B10" s="21" t="n">
        <v>3.7</v>
      </c>
      <c r="C10" s="22" t="inlineStr">
        <is>
          <t>S06</t>
        </is>
      </c>
    </row>
    <row r="11">
      <c r="A11" s="20" t="inlineStr"/>
      <c r="C11" s="22" t="inlineStr"/>
    </row>
    <row r="12">
      <c r="A12" s="20" t="inlineStr">
        <is>
          <t>H₂ (kg/ชม.)</t>
        </is>
      </c>
      <c r="B12" s="24">
        <f>B3/B4</f>
        <v/>
      </c>
      <c r="C12" s="22">
        <f> กำลัง ÷ ไฟฟ้าต่อ kg</f>
        <v/>
      </c>
    </row>
    <row r="13">
      <c r="A13" s="20" t="inlineStr">
        <is>
          <t>กรดฟอร์มิก 100% (kg/ชม.)</t>
        </is>
      </c>
      <c r="B13" s="25">
        <f>B12*46.03/2.016</f>
        <v/>
      </c>
      <c r="C13" s="22" t="inlineStr">
        <is>
          <t>สมมติ H₂ ถูกใช้หมด (ค่าสูงสุด)</t>
        </is>
      </c>
    </row>
    <row r="14">
      <c r="A14" s="20" t="inlineStr">
        <is>
          <t>CO₂ ที่ต้องใช้ (kg/ชม.)</t>
        </is>
      </c>
      <c r="B14" s="25">
        <f>B13*B6</f>
        <v/>
      </c>
      <c r="C14" s="22" t="inlineStr"/>
    </row>
    <row r="15">
      <c r="A15" s="20" t="inlineStr">
        <is>
          <t>ไอเสียที่ต้องดึง (Nm³/ชม.)</t>
        </is>
      </c>
      <c r="B15" s="26">
        <f>B14/B7*1000/44.01/B8*0.022414</f>
        <v/>
      </c>
      <c r="C15" s="22" t="inlineStr">
        <is>
          <t>ใช้กำหนดขนาดพัดลม 1.1</t>
        </is>
      </c>
    </row>
    <row r="16">
      <c r="A16" s="20" t="inlineStr">
        <is>
          <t>สารละลาย MEA ไหลวน (kg/ชม.)</t>
        </is>
      </c>
      <c r="B16" s="26">
        <f>B14/(B9*(300/61.08)*44.01/1000)</f>
        <v/>
      </c>
      <c r="C16" s="22" t="inlineStr">
        <is>
          <t>MEA 30% = 4.91 mol/kg; ใช้กำหนดขนาดปั๊ม 1.7</t>
        </is>
      </c>
    </row>
    <row r="17">
      <c r="A17" s="20" t="inlineStr">
        <is>
          <t>ความร้อนที่หม้อต้มหอไล่ (kW)</t>
        </is>
      </c>
      <c r="B17" s="25">
        <f>B14/1000*B10*1000000/3600</f>
        <v/>
      </c>
      <c r="C17" s="22" t="inlineStr">
        <is>
          <t>ไอน้ำเหลือทิ้งจากโรงไฟฟ้า</t>
        </is>
      </c>
    </row>
    <row r="18">
      <c r="A18" s="20" t="inlineStr">
        <is>
          <t>กรดฟอร์มิก 100% (ตัน/ปี)</t>
        </is>
      </c>
      <c r="B18" s="26">
        <f>B13*B5/1000</f>
        <v/>
      </c>
      <c r="C18" s="22" t="inlineStr"/>
    </row>
    <row r="19">
      <c r="A19" s="20" t="inlineStr">
        <is>
          <t>กรด 85% (ตัน/ปี)</t>
        </is>
      </c>
      <c r="B19" s="26">
        <f>B18/0.85</f>
        <v/>
      </c>
      <c r="C19" s="22" t="inlineStr"/>
    </row>
    <row r="20">
      <c r="A20" s="20" t="inlineStr">
        <is>
          <t>ไฟฟ้า PEM (MWh/ปี)</t>
        </is>
      </c>
      <c r="B20" s="26">
        <f>B3*B5/1000</f>
        <v/>
      </c>
      <c r="C20" s="22" t="inlineStr"/>
    </row>
    <row r="21">
      <c r="A21" s="20" t="inlineStr">
        <is>
          <t>เทียบแผนโรงงาน 10,000 ตัน/ปี</t>
        </is>
      </c>
      <c r="B21" s="27">
        <f>B19/10000</f>
        <v/>
      </c>
      <c r="C21" s="22" t="inlineStr">
        <is>
          <t>Skid นี้เป็นโรงงานนำร่อง ไม่ใช่ขนาดโรงงานเต็ม</t>
        </is>
      </c>
    </row>
    <row r="22">
      <c r="A22" s="2" t="inlineStr">
        <is>
          <t>สีน้ำเงิน = ค่าที่แก้ได้ · ผลลัพธ์ทั้งหมดเป็นสูตร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ข้อควรทราบ</t>
        </is>
      </c>
    </row>
    <row r="3">
      <c r="A3" s="28" t="inlineStr">
        <is>
          <t>1. งบ 30 ล้านบาทได้โรงงานนำร่อง ~300 ตัน/ปี (กรด 85%) ≈ 3% ของแผน 10,000 ตัน/ปี ดูชีต ขนาดการผลิต</t>
        </is>
      </c>
    </row>
    <row r="4">
      <c r="A4" s="28" t="inlineStr">
        <is>
          <t>2. ชุดความเย็น LNG (PCHE, ถังน้ำแข็งแห้ง, เครื่องหลอม CO₂) ถูกตัดออก เพราะบางปะกงไม่มี LNG เหลวในพื้นที่ (SOURCES.md S17)</t>
        </is>
      </c>
    </row>
    <row r="5">
      <c r="A5" s="28" t="inlineStr">
        <is>
          <t>3. ราคาในช่องสีเหลืองเป็นประมาณการของที่ปรึกษา ไม่มีแหล่งอ้างอิง ต้องขอใบเสนอราคาจากผู้ขายในคอลัมน์สุดท้ายก่อนใช้จริง</t>
        </is>
      </c>
    </row>
    <row r="6">
      <c r="A6" s="28" t="inlineStr">
        <is>
          <t>4. ราคาจากไฟล์ทีมอ้างเว็บไซต์ผู้ขาย แต่ยังไม่ใช่ใบเสนอราคา ควรขอใบเสนอราคาเช่นกัน</t>
        </is>
      </c>
    </row>
    <row r="7">
      <c r="A7" s="28" t="inlineStr">
        <is>
          <t>5. เงินสำรอง 5% ต่ำกว่าที่นิยม (10–15%) ถ้าต้องสำรอง 10% ทางเลือกคือ: ลด PEM เป็น 50 kW (ผลิตครึ่งหนึ่ง), ใช้เตา 150 L, หรือเลื่อน IoT/แดชบอร์ดไประยะ 2</t>
        </is>
      </c>
    </row>
    <row r="8">
      <c r="A8" s="28" t="inlineStr">
        <is>
          <t>6. ขนาดอุปกรณ์ MEA (หอดูดซับ หอไล่ ปั๊ม) คำนวณจากชีต ขนาดการผลิต ต้องให้ผู้ขายออกแบบรายละเอียด (เส้นผ่านศูนย์กลาง ความสูง packing) อีกครั้ง</t>
        </is>
      </c>
    </row>
    <row r="9">
      <c r="A9" s="28" t="inlineStr">
        <is>
          <t>7. ต้องใช้ไฟโซลาร์หรือไฟพลังงานหมุนเวียนกับ PEM ถ้าใช้ไฟจากโรงไฟฟ้าก๊าซ CO₂ ที่ลดได้จะหายไปประมาณ 80% (scale_check.py)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2026-09-27T16:38:49Z</dcterms:created>
  <dcterms:modified xsi:type="dcterms:W3CDTF">2026-09-27T16:38:49Z</dcterms:modified>
</cp:coreProperties>
</file>